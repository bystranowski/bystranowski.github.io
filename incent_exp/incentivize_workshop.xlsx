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Sheet2" sheetId="2" state="visible" r:id="rId3"/>
    <sheet name="program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<sst xmlns="http://schemas.openxmlformats.org/spreadsheetml/2006/main" count="156" uniqueCount="95">
  <si>
    <t xml:space="preserve">invited</t>
  </si>
  <si>
    <t xml:space="preserve">interested</t>
  </si>
  <si>
    <t xml:space="preserve">confirmed</t>
  </si>
  <si>
    <t xml:space="preserve">arrival</t>
  </si>
  <si>
    <t xml:space="preserve">departure</t>
  </si>
  <si>
    <t xml:space="preserve">title</t>
  </si>
  <si>
    <t xml:space="preserve">Cristina</t>
  </si>
  <si>
    <t xml:space="preserve">Bicchieri</t>
  </si>
  <si>
    <t xml:space="preserve">1-os</t>
  </si>
  <si>
    <t xml:space="preserve">Erin</t>
  </si>
  <si>
    <t xml:space="preserve">Krupka</t>
  </si>
  <si>
    <t xml:space="preserve">Determinants of Norm Compliance: Moral similarity and Group Identification</t>
  </si>
  <si>
    <t xml:space="preserve">Ivar</t>
  </si>
  <si>
    <t xml:space="preserve">Hannikainen</t>
  </si>
  <si>
    <t xml:space="preserve">May the true incentive stand up: Cognitive efficacy and social coordination in rule enforcement</t>
  </si>
  <si>
    <t xml:space="preserve">Brandon</t>
  </si>
  <si>
    <t xml:space="preserve">Waldon</t>
  </si>
  <si>
    <t xml:space="preserve">2-os z małym dzieckiem</t>
  </si>
  <si>
    <t xml:space="preserve">A linguistic perspective on the text/purpose dichotomy</t>
  </si>
  <si>
    <t xml:space="preserve">Thomas</t>
  </si>
  <si>
    <t xml:space="preserve">Holzhausen</t>
  </si>
  <si>
    <t xml:space="preserve">Trapped in the Past? Routinized Rule Compliance and the Speed of Adaptation after Rule Change</t>
  </si>
  <si>
    <t xml:space="preserve">Bartosz</t>
  </si>
  <si>
    <t xml:space="preserve">Janik</t>
  </si>
  <si>
    <t xml:space="preserve">-</t>
  </si>
  <si>
    <t xml:space="preserve">Textual Compliance and Its Limits: A Behavioral Study</t>
  </si>
  <si>
    <t xml:space="preserve">Salima</t>
  </si>
  <si>
    <t xml:space="preserve">Issina-Shorman</t>
  </si>
  <si>
    <t xml:space="preserve">Interpretation of Personal vs. Formal Rules</t>
  </si>
  <si>
    <t xml:space="preserve">Tanishq</t>
  </si>
  <si>
    <t xml:space="preserve">Chakravorty</t>
  </si>
  <si>
    <t xml:space="preserve">23(?)</t>
  </si>
  <si>
    <t xml:space="preserve">28(?)</t>
  </si>
  <si>
    <t xml:space="preserve">Investigating the Role of Language on Human Cooperation Using Naturalistic Games</t>
  </si>
  <si>
    <t xml:space="preserve">Noel</t>
  </si>
  <si>
    <t xml:space="preserve">Struchiner</t>
  </si>
  <si>
    <t xml:space="preserve">2-os</t>
  </si>
  <si>
    <t xml:space="preserve">To be or not to be a positivist: political implications of adhering to a concept of law</t>
  </si>
  <si>
    <t xml:space="preserve">Ana</t>
  </si>
  <si>
    <t xml:space="preserve">Gantman</t>
  </si>
  <si>
    <t xml:space="preserve">2-os + małe dziecko</t>
  </si>
  <si>
    <t xml:space="preserve">On rules and being ruled</t>
  </si>
  <si>
    <t xml:space="preserve">Alessandro</t>
  </si>
  <si>
    <t xml:space="preserve">Tacconelli</t>
  </si>
  <si>
    <t xml:space="preserve">Framing Rules: Rights by Permission and Rights by Exemption</t>
  </si>
  <si>
    <t xml:space="preserve">Julien</t>
  </si>
  <si>
    <t xml:space="preserve">Lie-Panis</t>
  </si>
  <si>
    <t xml:space="preserve">Why human societies adopt rigid moral rules: The efficiency–robustness trade-off.</t>
  </si>
  <si>
    <t xml:space="preserve">not in the beginning</t>
  </si>
  <si>
    <t xml:space="preserve">Guilherme </t>
  </si>
  <si>
    <t xml:space="preserve">Nosenzo</t>
  </si>
  <si>
    <t xml:space="preserve">Przepiorka</t>
  </si>
  <si>
    <t xml:space="preserve">Mengel</t>
  </si>
  <si>
    <t xml:space="preserve">z FLL</t>
  </si>
  <si>
    <t xml:space="preserve">imię </t>
  </si>
  <si>
    <t xml:space="preserve">nazwisko</t>
  </si>
  <si>
    <t xml:space="preserve">pokój </t>
  </si>
  <si>
    <t xml:space="preserve">przyjazd</t>
  </si>
  <si>
    <t xml:space="preserve">wyjazd</t>
  </si>
  <si>
    <t xml:space="preserve">liczba dób</t>
  </si>
  <si>
    <t xml:space="preserve">koszt</t>
  </si>
  <si>
    <t xml:space="preserve">płatność UJ</t>
  </si>
  <si>
    <t xml:space="preserve">płatność gościa</t>
  </si>
  <si>
    <t xml:space="preserve">płatność gościa za ostatnie dwa dni, wcześniej UJ</t>
  </si>
  <si>
    <t xml:space="preserve">3-os </t>
  </si>
  <si>
    <t xml:space="preserve">płatność gościa za osoby tow.</t>
  </si>
  <si>
    <t xml:space="preserve">płatność gościa za pierwsze dwa dni</t>
  </si>
  <si>
    <t xml:space="preserve">2-os + dziecko &lt;1 rok</t>
  </si>
  <si>
    <t xml:space="preserve">FLL środki</t>
  </si>
  <si>
    <t xml:space="preserve">spanie</t>
  </si>
  <si>
    <t xml:space="preserve">Kucharzyk</t>
  </si>
  <si>
    <t xml:space="preserve">catering</t>
  </si>
  <si>
    <t xml:space="preserve">Żuradzki</t>
  </si>
  <si>
    <t xml:space="preserve">kolacja</t>
  </si>
  <si>
    <t xml:space="preserve">plakat</t>
  </si>
  <si>
    <t xml:space="preserve">IDUJ WF</t>
  </si>
  <si>
    <t xml:space="preserve">FLL</t>
  </si>
  <si>
    <t xml:space="preserve">lot</t>
  </si>
  <si>
    <t xml:space="preserve">suma</t>
  </si>
  <si>
    <t xml:space="preserve">coffee</t>
  </si>
  <si>
    <t xml:space="preserve">Erin Krupka</t>
  </si>
  <si>
    <t xml:space="preserve">Bartosz Janik</t>
  </si>
  <si>
    <t xml:space="preserve">Tanishq Chakravorty</t>
  </si>
  <si>
    <t xml:space="preserve">Salima Issina-Shorman</t>
  </si>
  <si>
    <t xml:space="preserve">lunch</t>
  </si>
  <si>
    <t xml:space="preserve">Julien Lie-Panis</t>
  </si>
  <si>
    <t xml:space="preserve">Thomas Holzhausen</t>
  </si>
  <si>
    <t xml:space="preserve">Alessandro Tacconelli</t>
  </si>
  <si>
    <t xml:space="preserve">Ivar Hannikainen</t>
  </si>
  <si>
    <t xml:space="preserve">Ana Gantman</t>
  </si>
  <si>
    <t xml:space="preserve">Brandon Waldon</t>
  </si>
  <si>
    <t xml:space="preserve">Noel	Struchiner</t>
  </si>
  <si>
    <t xml:space="preserve">Cristina Bicchieri</t>
  </si>
  <si>
    <t xml:space="preserve">TBD</t>
  </si>
  <si>
    <t xml:space="preserve">Workshop on implementing experiments in Empirica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</si>
</sst>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mm/dd/yy"/>
    <numFmt numFmtId="167" formatCode="h:mm"/>
    <numFmt numFmtId="168" formatCode="hh:mm:ss\ AM/PM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trike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6B8AF"/>
        <bgColor rgb="FFFF99CC"/>
      </patternFill>
    </fill>
    <fill>
      <patternFill patternType="solid">
        <fgColor rgb="FF93C47D"/>
        <bgColor rgb="FF999999"/>
      </patternFill>
    </fill>
    <fill>
      <patternFill patternType="solid">
        <fgColor rgb="FF999999"/>
        <bgColor rgb="FF808080"/>
      </patternFill>
    </fill>
    <fill>
      <patternFill patternType="solid">
        <fgColor rgb="FF434343"/>
        <bgColor rgb="FF333300"/>
      </patternFill>
    </fill>
    <fill>
      <patternFill patternType="solid">
        <fgColor rgb="FF666666"/>
        <bgColor rgb="FF80808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false" hidden="true" outlineLevel="0" max="5" min="3" style="0" width="12.63"/>
    <col collapsed="false" customWidth="false" hidden="true" outlineLevel="0" max="10" min="7" style="0" width="12.63"/>
    <col collapsed="false" customWidth="true" hidden="false" outlineLevel="0" max="11" min="11" style="0" width="61.88"/>
  </cols>
  <sheetData>
    <row r="2" customFormat="false" ht="15.75" hidden="false" customHeight="false" outlineLevel="0" collapsed="false">
      <c r="C2" s="1" t="s">
        <v>0</v>
      </c>
      <c r="D2" s="1" t="s">
        <v>1</v>
      </c>
      <c r="E2" s="1" t="s">
        <v>2</v>
      </c>
      <c r="I2" s="1" t="s">
        <v>3</v>
      </c>
      <c r="J2" s="1" t="s">
        <v>4</v>
      </c>
      <c r="K2" s="1" t="s">
        <v>5</v>
      </c>
      <c r="N2" s="1" t="n">
        <v>2</v>
      </c>
    </row>
    <row r="3" customFormat="false" ht="15.75" hidden="false" customHeight="false" outlineLevel="0" collapsed="false">
      <c r="A3" s="1" t="s">
        <v>6</v>
      </c>
      <c r="B3" s="1" t="s">
        <v>7</v>
      </c>
      <c r="C3" s="1" t="n">
        <v>1</v>
      </c>
      <c r="D3" s="1" t="n">
        <v>1</v>
      </c>
      <c r="E3" s="1" t="n">
        <v>1</v>
      </c>
      <c r="G3" s="1" t="n">
        <v>1</v>
      </c>
      <c r="H3" s="1" t="s">
        <v>8</v>
      </c>
      <c r="I3" s="2" t="n">
        <v>24</v>
      </c>
      <c r="J3" s="2" t="n">
        <v>27</v>
      </c>
      <c r="M3" s="1" t="n">
        <f aca="false">J3-I3</f>
        <v>3</v>
      </c>
      <c r="N3" s="1" t="n">
        <v>270</v>
      </c>
      <c r="O3" s="3" t="n">
        <f aca="false">M3*N3</f>
        <v>810</v>
      </c>
    </row>
    <row r="4" customFormat="false" ht="15.75" hidden="false" customHeight="false" outlineLevel="0" collapsed="false">
      <c r="A4" s="1" t="s">
        <v>9</v>
      </c>
      <c r="B4" s="1" t="s">
        <v>10</v>
      </c>
      <c r="C4" s="1" t="n">
        <v>1</v>
      </c>
      <c r="D4" s="1" t="n">
        <v>1</v>
      </c>
      <c r="E4" s="1" t="n">
        <v>1</v>
      </c>
      <c r="G4" s="1" t="n">
        <v>1</v>
      </c>
      <c r="H4" s="1" t="s">
        <v>8</v>
      </c>
      <c r="I4" s="4" t="n">
        <v>22</v>
      </c>
      <c r="J4" s="4" t="n">
        <v>27</v>
      </c>
      <c r="K4" s="5" t="s">
        <v>11</v>
      </c>
      <c r="M4" s="1" t="n">
        <v>5</v>
      </c>
      <c r="N4" s="1" t="n">
        <v>270</v>
      </c>
      <c r="O4" s="3" t="n">
        <f aca="false">M4*N4</f>
        <v>1350</v>
      </c>
    </row>
    <row r="5" customFormat="false" ht="15.75" hidden="false" customHeight="false" outlineLevel="0" collapsed="false">
      <c r="A5" s="1" t="s">
        <v>12</v>
      </c>
      <c r="B5" s="1" t="s">
        <v>13</v>
      </c>
      <c r="C5" s="1" t="n">
        <v>1</v>
      </c>
      <c r="D5" s="1" t="n">
        <v>1</v>
      </c>
      <c r="E5" s="1" t="n">
        <v>1</v>
      </c>
      <c r="G5" s="1" t="n">
        <v>1</v>
      </c>
      <c r="H5" s="1" t="s">
        <v>8</v>
      </c>
      <c r="I5" s="4" t="n">
        <v>24</v>
      </c>
      <c r="J5" s="4" t="n">
        <v>27</v>
      </c>
      <c r="K5" s="1" t="s">
        <v>14</v>
      </c>
      <c r="M5" s="1" t="n">
        <f aca="false">J5-I5</f>
        <v>3</v>
      </c>
      <c r="N5" s="1" t="n">
        <v>270</v>
      </c>
      <c r="O5" s="3" t="n">
        <f aca="false">M5*N5</f>
        <v>810</v>
      </c>
    </row>
    <row r="6" customFormat="false" ht="15.75" hidden="false" customHeight="false" outlineLevel="0" collapsed="false">
      <c r="A6" s="1" t="s">
        <v>15</v>
      </c>
      <c r="B6" s="1" t="s">
        <v>16</v>
      </c>
      <c r="C6" s="1" t="n">
        <v>1</v>
      </c>
      <c r="D6" s="1" t="n">
        <v>1</v>
      </c>
      <c r="E6" s="1" t="n">
        <v>1</v>
      </c>
      <c r="H6" s="1" t="s">
        <v>17</v>
      </c>
      <c r="I6" s="4" t="n">
        <v>16</v>
      </c>
      <c r="J6" s="4" t="n">
        <v>30</v>
      </c>
      <c r="K6" s="1" t="s">
        <v>18</v>
      </c>
      <c r="M6" s="1" t="n">
        <v>14</v>
      </c>
      <c r="N6" s="1" t="n">
        <v>410</v>
      </c>
      <c r="P6" s="3" t="n">
        <f aca="false">M6*N6</f>
        <v>5740</v>
      </c>
    </row>
    <row r="7" customFormat="false" ht="15.75" hidden="false" customHeight="false" outlineLevel="0" collapsed="false">
      <c r="A7" s="1" t="s">
        <v>19</v>
      </c>
      <c r="B7" s="1" t="s">
        <v>20</v>
      </c>
      <c r="C7" s="1" t="n">
        <v>1</v>
      </c>
      <c r="D7" s="1" t="n">
        <v>1</v>
      </c>
      <c r="E7" s="1" t="n">
        <v>1</v>
      </c>
      <c r="G7" s="1" t="n">
        <v>1</v>
      </c>
      <c r="H7" s="1" t="s">
        <v>8</v>
      </c>
      <c r="I7" s="4" t="n">
        <v>24</v>
      </c>
      <c r="J7" s="4" t="n">
        <v>27</v>
      </c>
      <c r="K7" s="1" t="s">
        <v>21</v>
      </c>
      <c r="M7" s="1" t="n">
        <f aca="false">J7-I7</f>
        <v>3</v>
      </c>
      <c r="N7" s="1" t="n">
        <v>270</v>
      </c>
      <c r="O7" s="3" t="n">
        <f aca="false">M7*N7</f>
        <v>810</v>
      </c>
    </row>
    <row r="8" customFormat="false" ht="15.75" hidden="false" customHeight="false" outlineLevel="0" collapsed="false">
      <c r="A8" s="1" t="s">
        <v>22</v>
      </c>
      <c r="B8" s="1" t="s">
        <v>23</v>
      </c>
      <c r="C8" s="1" t="n">
        <v>1</v>
      </c>
      <c r="D8" s="1" t="n">
        <v>1</v>
      </c>
      <c r="E8" s="1" t="n">
        <v>1</v>
      </c>
      <c r="I8" s="6" t="s">
        <v>24</v>
      </c>
      <c r="J8" s="6" t="s">
        <v>24</v>
      </c>
      <c r="K8" s="7" t="s">
        <v>25</v>
      </c>
      <c r="O8" s="3" t="n">
        <f aca="false">M8*N8</f>
        <v>0</v>
      </c>
    </row>
    <row r="9" customFormat="false" ht="15.75" hidden="false" customHeight="false" outlineLevel="0" collapsed="false">
      <c r="A9" s="1" t="s">
        <v>26</v>
      </c>
      <c r="B9" s="1" t="s">
        <v>27</v>
      </c>
      <c r="C9" s="1" t="n">
        <v>1</v>
      </c>
      <c r="D9" s="1" t="n">
        <v>1</v>
      </c>
      <c r="E9" s="1" t="n">
        <v>1</v>
      </c>
      <c r="G9" s="1" t="n">
        <v>1</v>
      </c>
      <c r="H9" s="1" t="s">
        <v>8</v>
      </c>
      <c r="I9" s="4" t="n">
        <v>24</v>
      </c>
      <c r="J9" s="4" t="n">
        <v>26</v>
      </c>
      <c r="K9" s="1" t="s">
        <v>28</v>
      </c>
      <c r="M9" s="1" t="n">
        <v>2</v>
      </c>
      <c r="N9" s="1" t="n">
        <v>270</v>
      </c>
      <c r="O9" s="3" t="n">
        <f aca="false">M9*N9</f>
        <v>540</v>
      </c>
    </row>
    <row r="10" customFormat="false" ht="15.75" hidden="false" customHeight="false" outlineLevel="0" collapsed="false">
      <c r="A10" s="1" t="s">
        <v>29</v>
      </c>
      <c r="B10" s="1" t="s">
        <v>30</v>
      </c>
      <c r="C10" s="1" t="n">
        <v>1</v>
      </c>
      <c r="D10" s="1" t="n">
        <v>1</v>
      </c>
      <c r="E10" s="1" t="n">
        <v>1</v>
      </c>
      <c r="G10" s="1" t="n">
        <v>1</v>
      </c>
      <c r="H10" s="1" t="s">
        <v>8</v>
      </c>
      <c r="I10" s="2" t="s">
        <v>31</v>
      </c>
      <c r="J10" s="2" t="s">
        <v>32</v>
      </c>
      <c r="K10" s="5" t="s">
        <v>33</v>
      </c>
      <c r="M10" s="1" t="n">
        <v>3</v>
      </c>
      <c r="N10" s="1" t="n">
        <v>270</v>
      </c>
      <c r="O10" s="3" t="n">
        <f aca="false">M10*N10</f>
        <v>810</v>
      </c>
    </row>
    <row r="11" customFormat="false" ht="15.75" hidden="false" customHeight="false" outlineLevel="0" collapsed="false">
      <c r="A11" s="1" t="s">
        <v>34</v>
      </c>
      <c r="B11" s="1" t="s">
        <v>35</v>
      </c>
      <c r="C11" s="1" t="n">
        <v>1</v>
      </c>
      <c r="D11" s="1" t="n">
        <v>1</v>
      </c>
      <c r="E11" s="1" t="n">
        <v>1</v>
      </c>
      <c r="G11" s="1" t="n">
        <v>1</v>
      </c>
      <c r="H11" s="1" t="s">
        <v>36</v>
      </c>
      <c r="I11" s="4" t="n">
        <v>24</v>
      </c>
      <c r="J11" s="4" t="n">
        <v>30</v>
      </c>
      <c r="K11" s="8" t="s">
        <v>37</v>
      </c>
      <c r="M11" s="1" t="n">
        <f aca="false">J11-I11</f>
        <v>6</v>
      </c>
      <c r="N11" s="1" t="n">
        <v>270</v>
      </c>
      <c r="O11" s="3" t="n">
        <f aca="false">M11*N11</f>
        <v>1620</v>
      </c>
      <c r="Q11" s="1" t="n">
        <v>151</v>
      </c>
    </row>
    <row r="12" customFormat="false" ht="15.75" hidden="false" customHeight="false" outlineLevel="0" collapsed="false">
      <c r="A12" s="1" t="s">
        <v>38</v>
      </c>
      <c r="B12" s="9" t="s">
        <v>39</v>
      </c>
      <c r="C12" s="1" t="n">
        <v>1</v>
      </c>
      <c r="D12" s="1" t="n">
        <v>1</v>
      </c>
      <c r="E12" s="1" t="n">
        <v>1</v>
      </c>
      <c r="G12" s="1" t="n">
        <v>1</v>
      </c>
      <c r="H12" s="1" t="s">
        <v>40</v>
      </c>
      <c r="I12" s="4" t="n">
        <v>23</v>
      </c>
      <c r="J12" s="4" t="n">
        <v>27</v>
      </c>
      <c r="K12" s="7" t="s">
        <v>41</v>
      </c>
      <c r="M12" s="1" t="n">
        <f aca="false">J12-I12</f>
        <v>4</v>
      </c>
      <c r="N12" s="1" t="n">
        <v>390</v>
      </c>
      <c r="O12" s="3" t="n">
        <f aca="false">M12*N12</f>
        <v>1560</v>
      </c>
      <c r="Q12" s="1" t="n">
        <v>216</v>
      </c>
    </row>
    <row r="13" customFormat="false" ht="15.75" hidden="false" customHeight="false" outlineLevel="0" collapsed="false">
      <c r="A13" s="1" t="s">
        <v>42</v>
      </c>
      <c r="B13" s="1" t="s">
        <v>43</v>
      </c>
      <c r="C13" s="1" t="n">
        <v>1</v>
      </c>
      <c r="D13" s="1" t="n">
        <v>1</v>
      </c>
      <c r="E13" s="1" t="n">
        <v>1</v>
      </c>
      <c r="G13" s="1" t="n">
        <v>1</v>
      </c>
      <c r="H13" s="1" t="s">
        <v>8</v>
      </c>
      <c r="I13" s="4" t="n">
        <v>23</v>
      </c>
      <c r="J13" s="4" t="n">
        <v>27</v>
      </c>
      <c r="K13" s="8" t="s">
        <v>44</v>
      </c>
      <c r="M13" s="1" t="n">
        <f aca="false">J13-I13</f>
        <v>4</v>
      </c>
      <c r="N13" s="1" t="n">
        <v>270</v>
      </c>
      <c r="O13" s="3" t="n">
        <f aca="false">M13*N13</f>
        <v>1080</v>
      </c>
    </row>
    <row r="14" customFormat="false" ht="15.75" hidden="false" customHeight="false" outlineLevel="0" collapsed="false">
      <c r="A14" s="1" t="s">
        <v>45</v>
      </c>
      <c r="B14" s="1" t="s">
        <v>46</v>
      </c>
      <c r="C14" s="1" t="n">
        <v>1</v>
      </c>
      <c r="D14" s="1" t="n">
        <v>1</v>
      </c>
      <c r="E14" s="1" t="n">
        <v>1</v>
      </c>
      <c r="G14" s="1" t="n">
        <v>1</v>
      </c>
      <c r="H14" s="1" t="s">
        <v>8</v>
      </c>
      <c r="I14" s="4" t="n">
        <v>25</v>
      </c>
      <c r="J14" s="4" t="n">
        <v>26</v>
      </c>
      <c r="K14" s="8" t="s">
        <v>47</v>
      </c>
      <c r="L14" s="1" t="s">
        <v>48</v>
      </c>
      <c r="M14" s="1" t="n">
        <v>1</v>
      </c>
      <c r="N14" s="1" t="n">
        <v>270</v>
      </c>
      <c r="O14" s="3" t="n">
        <f aca="false">M14*N14</f>
        <v>270</v>
      </c>
    </row>
    <row r="16" customFormat="false" ht="15.75" hidden="false" customHeight="false" outlineLevel="0" collapsed="false">
      <c r="C16" s="3" t="n">
        <f aca="false">SUM(C3:C13)</f>
        <v>11</v>
      </c>
      <c r="D16" s="3" t="n">
        <f aca="false">SUM(D3:D13)</f>
        <v>11</v>
      </c>
      <c r="E16" s="3" t="n">
        <f aca="false">SUM(E3:E13)</f>
        <v>11</v>
      </c>
      <c r="F16" s="3" t="n">
        <f aca="false">SUM(F3:F13)</f>
        <v>0</v>
      </c>
      <c r="G16" s="3" t="n">
        <f aca="false">SUM(G3:G14)</f>
        <v>10</v>
      </c>
      <c r="O16" s="3" t="n">
        <f aca="false">SUM(O2:O14)</f>
        <v>9660</v>
      </c>
    </row>
    <row r="20" customFormat="false" ht="15.75" hidden="false" customHeight="false" outlineLevel="0" collapsed="false">
      <c r="B20" s="6" t="s">
        <v>49</v>
      </c>
    </row>
    <row r="21" customFormat="false" ht="15.75" hidden="false" customHeight="false" outlineLevel="0" collapsed="false">
      <c r="B21" s="6" t="s">
        <v>50</v>
      </c>
    </row>
    <row r="22" customFormat="false" ht="15.75" hidden="false" customHeight="false" outlineLevel="0" collapsed="false">
      <c r="B22" s="6" t="s">
        <v>51</v>
      </c>
    </row>
    <row r="23" customFormat="false" ht="15.75" hidden="false" customHeight="false" outlineLevel="0" collapsed="false">
      <c r="B23" s="6" t="s">
        <v>52</v>
      </c>
      <c r="J23" s="1" t="s">
        <v>53</v>
      </c>
      <c r="K23" s="3" t="n">
        <f aca="false">O3+O5+O7+O9+O10+O11+O13+O14</f>
        <v>6750</v>
      </c>
    </row>
    <row r="24" customFormat="false" ht="15.75" hidden="false" customHeight="false" outlineLevel="0" collapsed="false">
      <c r="J24" s="1" t="s">
        <v>10</v>
      </c>
      <c r="K24" s="3" t="n">
        <f aca="false">O4+1290*3.7</f>
        <v>6123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3" min="3" style="0" width="17.88"/>
  </cols>
  <sheetData>
    <row r="1" customFormat="false" ht="15.75" hidden="false" customHeight="false" outlineLevel="0" collapsed="false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customFormat="false" ht="15.75" hidden="false" customHeight="false" outlineLevel="0" collapsed="false">
      <c r="A2" s="1" t="s">
        <v>12</v>
      </c>
      <c r="B2" s="1" t="s">
        <v>13</v>
      </c>
      <c r="C2" s="1" t="s">
        <v>8</v>
      </c>
      <c r="D2" s="4" t="n">
        <v>24</v>
      </c>
      <c r="E2" s="4" t="n">
        <v>27</v>
      </c>
      <c r="F2" s="1" t="n">
        <v>3</v>
      </c>
      <c r="H2" s="3" t="n">
        <f aca="false">270*F2</f>
        <v>810</v>
      </c>
      <c r="I2" s="1" t="n">
        <v>0</v>
      </c>
    </row>
    <row r="3" customFormat="false" ht="15.75" hidden="false" customHeight="false" outlineLevel="0" collapsed="false">
      <c r="A3" s="1" t="s">
        <v>19</v>
      </c>
      <c r="B3" s="1" t="s">
        <v>20</v>
      </c>
      <c r="C3" s="1" t="s">
        <v>8</v>
      </c>
      <c r="D3" s="10" t="n">
        <v>24</v>
      </c>
      <c r="E3" s="10" t="n">
        <v>27</v>
      </c>
      <c r="F3" s="1" t="n">
        <v>3</v>
      </c>
      <c r="H3" s="3" t="n">
        <f aca="false">270*F3</f>
        <v>810</v>
      </c>
      <c r="I3" s="1" t="n">
        <v>0</v>
      </c>
    </row>
    <row r="4" customFormat="false" ht="15.75" hidden="false" customHeight="false" outlineLevel="0" collapsed="false">
      <c r="A4" s="1" t="s">
        <v>34</v>
      </c>
      <c r="B4" s="1" t="s">
        <v>35</v>
      </c>
      <c r="C4" s="1" t="s">
        <v>36</v>
      </c>
      <c r="D4" s="4" t="n">
        <v>24</v>
      </c>
      <c r="E4" s="4" t="n">
        <v>30</v>
      </c>
      <c r="F4" s="1" t="n">
        <v>6</v>
      </c>
      <c r="H4" s="3" t="n">
        <f aca="false">410*4</f>
        <v>1640</v>
      </c>
      <c r="I4" s="3" t="n">
        <f aca="false">540*2</f>
        <v>1080</v>
      </c>
      <c r="J4" s="1" t="s">
        <v>63</v>
      </c>
    </row>
    <row r="5" customFormat="false" ht="15.75" hidden="false" customHeight="false" outlineLevel="0" collapsed="false">
      <c r="A5" s="1" t="s">
        <v>38</v>
      </c>
      <c r="B5" s="9" t="s">
        <v>39</v>
      </c>
      <c r="C5" s="1" t="s">
        <v>64</v>
      </c>
      <c r="D5" s="4" t="n">
        <v>23</v>
      </c>
      <c r="E5" s="4" t="n">
        <v>27</v>
      </c>
      <c r="F5" s="1" t="n">
        <v>4</v>
      </c>
      <c r="H5" s="3" t="n">
        <f aca="false">390*F5</f>
        <v>1560</v>
      </c>
      <c r="I5" s="3" t="n">
        <f aca="false">216*F5</f>
        <v>864</v>
      </c>
      <c r="J5" s="1" t="s">
        <v>65</v>
      </c>
    </row>
    <row r="6" customFormat="false" ht="15.75" hidden="false" customHeight="false" outlineLevel="0" collapsed="false">
      <c r="A6" s="1" t="s">
        <v>42</v>
      </c>
      <c r="B6" s="1" t="s">
        <v>43</v>
      </c>
      <c r="C6" s="1" t="s">
        <v>8</v>
      </c>
      <c r="D6" s="4" t="n">
        <v>23</v>
      </c>
      <c r="E6" s="4" t="n">
        <v>27</v>
      </c>
      <c r="F6" s="1" t="n">
        <v>4</v>
      </c>
      <c r="H6" s="3" t="n">
        <f aca="false">270*F6</f>
        <v>1080</v>
      </c>
      <c r="I6" s="1" t="n">
        <v>0</v>
      </c>
    </row>
    <row r="7" customFormat="false" ht="15.75" hidden="false" customHeight="false" outlineLevel="0" collapsed="false">
      <c r="A7" s="1" t="s">
        <v>9</v>
      </c>
      <c r="B7" s="1" t="s">
        <v>10</v>
      </c>
      <c r="C7" s="1" t="s">
        <v>8</v>
      </c>
      <c r="D7" s="4" t="n">
        <v>22</v>
      </c>
      <c r="E7" s="4" t="n">
        <v>27</v>
      </c>
      <c r="F7" s="1" t="n">
        <v>5</v>
      </c>
      <c r="H7" s="3" t="n">
        <f aca="false">3*270</f>
        <v>810</v>
      </c>
      <c r="I7" s="3" t="n">
        <f aca="false">2*390</f>
        <v>780</v>
      </c>
      <c r="J7" s="1" t="s">
        <v>66</v>
      </c>
    </row>
    <row r="8" customFormat="false" ht="15.75" hidden="false" customHeight="false" outlineLevel="0" collapsed="false">
      <c r="A8" s="1" t="s">
        <v>26</v>
      </c>
      <c r="B8" s="1" t="s">
        <v>27</v>
      </c>
      <c r="C8" s="1" t="s">
        <v>8</v>
      </c>
      <c r="D8" s="4" t="n">
        <v>24</v>
      </c>
      <c r="E8" s="4" t="n">
        <v>26</v>
      </c>
      <c r="F8" s="1" t="n">
        <v>2</v>
      </c>
      <c r="H8" s="3" t="n">
        <f aca="false">270*F8</f>
        <v>540</v>
      </c>
      <c r="I8" s="1" t="n">
        <v>0</v>
      </c>
    </row>
    <row r="9" customFormat="false" ht="15.75" hidden="false" customHeight="false" outlineLevel="0" collapsed="false">
      <c r="A9" s="1" t="s">
        <v>45</v>
      </c>
      <c r="B9" s="1" t="s">
        <v>46</v>
      </c>
      <c r="C9" s="1" t="s">
        <v>8</v>
      </c>
      <c r="D9" s="4" t="n">
        <v>25</v>
      </c>
      <c r="E9" s="4" t="n">
        <v>26</v>
      </c>
      <c r="F9" s="1" t="n">
        <v>1</v>
      </c>
      <c r="H9" s="3" t="n">
        <f aca="false">270*F9</f>
        <v>270</v>
      </c>
      <c r="I9" s="1" t="n">
        <v>0</v>
      </c>
    </row>
    <row r="10" customFormat="false" ht="15.75" hidden="false" customHeight="false" outlineLevel="0" collapsed="false">
      <c r="A10" s="1" t="s">
        <v>15</v>
      </c>
      <c r="B10" s="1" t="s">
        <v>16</v>
      </c>
      <c r="C10" s="1" t="s">
        <v>67</v>
      </c>
      <c r="D10" s="4" t="n">
        <v>16</v>
      </c>
      <c r="E10" s="4" t="n">
        <v>30</v>
      </c>
      <c r="F10" s="1" t="n">
        <v>14</v>
      </c>
      <c r="H10" s="3" t="n">
        <f aca="false">410*F10</f>
        <v>5740</v>
      </c>
    </row>
    <row r="11" customFormat="false" ht="15.75" hidden="false" customHeight="false" outlineLevel="0" collapsed="false">
      <c r="A11" s="1" t="s">
        <v>6</v>
      </c>
      <c r="B11" s="1" t="s">
        <v>7</v>
      </c>
      <c r="C11" s="1" t="s">
        <v>8</v>
      </c>
      <c r="D11" s="4" t="n">
        <v>24</v>
      </c>
      <c r="E11" s="4" t="n">
        <v>27</v>
      </c>
      <c r="F11" s="1" t="n">
        <v>3</v>
      </c>
      <c r="H11" s="3" t="n">
        <f aca="false">270*F11</f>
        <v>810</v>
      </c>
    </row>
    <row r="12" customFormat="false" ht="15.75" hidden="false" customHeight="false" outlineLevel="0" collapsed="false">
      <c r="A12" s="1" t="s">
        <v>29</v>
      </c>
      <c r="B12" s="1" t="s">
        <v>30</v>
      </c>
      <c r="C12" s="1" t="s">
        <v>8</v>
      </c>
      <c r="D12" s="4" t="n">
        <v>23</v>
      </c>
      <c r="E12" s="4" t="n">
        <v>28</v>
      </c>
      <c r="F12" s="1" t="n">
        <v>4</v>
      </c>
      <c r="H12" s="3" t="n">
        <f aca="false">270*F12</f>
        <v>1080</v>
      </c>
    </row>
    <row r="14" customFormat="false" ht="15.75" hidden="false" customHeight="false" outlineLevel="0" collapsed="false">
      <c r="M14" s="1" t="s">
        <v>68</v>
      </c>
      <c r="N14" s="3" t="n">
        <f aca="false">5250+5750+9000+14940-5386</f>
        <v>29554</v>
      </c>
      <c r="P14" s="1" t="s">
        <v>69</v>
      </c>
      <c r="Q14" s="3" t="n">
        <f aca="false">SUM(H2:H12)</f>
        <v>15150</v>
      </c>
    </row>
    <row r="15" customFormat="false" ht="15.75" hidden="false" customHeight="false" outlineLevel="0" collapsed="false">
      <c r="M15" s="1" t="s">
        <v>70</v>
      </c>
      <c r="N15" s="1" t="n">
        <v>12000</v>
      </c>
      <c r="P15" s="1" t="s">
        <v>71</v>
      </c>
      <c r="Q15" s="1" t="n">
        <v>4920</v>
      </c>
    </row>
    <row r="16" customFormat="false" ht="15.75" hidden="false" customHeight="false" outlineLevel="0" collapsed="false">
      <c r="M16" s="1" t="s">
        <v>72</v>
      </c>
      <c r="N16" s="1" t="n">
        <v>4000</v>
      </c>
      <c r="P16" s="1" t="s">
        <v>73</v>
      </c>
      <c r="Q16" s="3" t="n">
        <f aca="false">260*25+40*16</f>
        <v>7140</v>
      </c>
    </row>
    <row r="17" customFormat="false" ht="15.75" hidden="false" customHeight="false" outlineLevel="0" collapsed="false">
      <c r="H17" s="3" t="n">
        <f aca="false">SUM(H2:H12)</f>
        <v>15150</v>
      </c>
      <c r="M17" s="1" t="s">
        <v>10</v>
      </c>
      <c r="N17" s="3" t="n">
        <f aca="false">6500-6172</f>
        <v>328</v>
      </c>
      <c r="P17" s="1" t="s">
        <v>74</v>
      </c>
      <c r="Q17" s="1" t="n">
        <v>1200</v>
      </c>
    </row>
    <row r="18" customFormat="false" ht="15.75" hidden="false" customHeight="false" outlineLevel="0" collapsed="false">
      <c r="M18" s="1" t="s">
        <v>39</v>
      </c>
      <c r="N18" s="11" t="n">
        <f aca="false">6500-3207</f>
        <v>3293</v>
      </c>
    </row>
    <row r="19" customFormat="false" ht="15.75" hidden="false" customHeight="false" outlineLevel="0" collapsed="false">
      <c r="M19" s="1" t="s">
        <v>75</v>
      </c>
      <c r="N19" s="1" t="n">
        <v>2000</v>
      </c>
    </row>
    <row r="21" customFormat="false" ht="15.75" hidden="false" customHeight="false" outlineLevel="0" collapsed="false">
      <c r="H21" s="3" t="n">
        <f aca="false">H17-N17-N18</f>
        <v>11529</v>
      </c>
    </row>
    <row r="23" customFormat="false" ht="15.75" hidden="false" customHeight="false" outlineLevel="0" collapsed="false">
      <c r="N23" s="3" t="n">
        <f aca="false">SUM(N14:N19)</f>
        <v>51175</v>
      </c>
      <c r="Q23" s="3" t="n">
        <f aca="false">SUM(Q14:Q18)</f>
        <v>28410</v>
      </c>
    </row>
    <row r="25" customFormat="false" ht="15.75" hidden="false" customHeight="false" outlineLevel="0" collapsed="false">
      <c r="Q25" s="3" t="n">
        <f aca="false">N23-Q23</f>
        <v>22765</v>
      </c>
    </row>
    <row r="26" customFormat="false" ht="15.75" hidden="false" customHeight="false" outlineLevel="0" collapsed="false">
      <c r="E26" s="1" t="s">
        <v>76</v>
      </c>
    </row>
    <row r="27" customFormat="false" ht="15.75" hidden="false" customHeight="false" outlineLevel="0" collapsed="false">
      <c r="D27" s="1" t="s">
        <v>69</v>
      </c>
      <c r="E27" s="3" t="n">
        <f aca="false">H17-H10-H5</f>
        <v>7850</v>
      </c>
    </row>
    <row r="28" customFormat="false" ht="15.75" hidden="false" customHeight="false" outlineLevel="0" collapsed="false">
      <c r="D28" s="1" t="s">
        <v>77</v>
      </c>
      <c r="E28" s="1" t="n">
        <v>9300</v>
      </c>
    </row>
    <row r="29" customFormat="false" ht="15.75" hidden="false" customHeight="false" outlineLevel="0" collapsed="false">
      <c r="D29" s="1" t="s">
        <v>74</v>
      </c>
      <c r="E29" s="1" t="n">
        <v>1200</v>
      </c>
    </row>
    <row r="30" customFormat="false" ht="15.75" hidden="false" customHeight="false" outlineLevel="0" collapsed="false">
      <c r="D30" s="1" t="s">
        <v>71</v>
      </c>
      <c r="E30" s="1" t="n">
        <v>5500</v>
      </c>
    </row>
    <row r="33" customFormat="false" ht="15.75" hidden="false" customHeight="false" outlineLevel="0" collapsed="false">
      <c r="D33" s="1" t="s">
        <v>78</v>
      </c>
      <c r="E33" s="3" t="n">
        <f aca="false">SUM(E27:E31)</f>
        <v>23850</v>
      </c>
      <c r="G33" s="3" t="n">
        <f aca="false">E33-12000</f>
        <v>11850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2.640625" defaultRowHeight="15.75" zeroHeight="false" outlineLevelRow="0" outlineLevelCol="0"/>
  <sheetData>
    <row r="3" customFormat="false" ht="15.75" hidden="false" customHeight="false" outlineLevel="0" collapsed="false">
      <c r="A3" s="12" t="n">
        <v>46167</v>
      </c>
      <c r="E3" s="12" t="n">
        <v>46168</v>
      </c>
    </row>
    <row r="4" customFormat="false" ht="15.75" hidden="false" customHeight="false" outlineLevel="0" collapsed="false">
      <c r="A4" s="13" t="n">
        <v>0.416666666666667</v>
      </c>
      <c r="B4" s="13" t="n">
        <v>0.4375</v>
      </c>
      <c r="C4" s="1" t="s">
        <v>79</v>
      </c>
      <c r="E4" s="13" t="n">
        <v>0.416666666666667</v>
      </c>
      <c r="F4" s="13" t="n">
        <v>0.4375</v>
      </c>
      <c r="G4" s="1" t="s">
        <v>79</v>
      </c>
    </row>
    <row r="5" customFormat="false" ht="15.75" hidden="false" customHeight="false" outlineLevel="0" collapsed="false">
      <c r="A5" s="13" t="n">
        <v>0.4375</v>
      </c>
      <c r="B5" s="13" t="n">
        <v>0.479166666666667</v>
      </c>
      <c r="C5" s="1" t="s">
        <v>80</v>
      </c>
      <c r="D5" s="1" t="s">
        <v>11</v>
      </c>
      <c r="E5" s="13" t="n">
        <v>0.4375</v>
      </c>
      <c r="F5" s="13" t="n">
        <v>0.479166666666667</v>
      </c>
      <c r="G5" s="1" t="s">
        <v>81</v>
      </c>
      <c r="H5" s="1" t="s">
        <v>25</v>
      </c>
    </row>
    <row r="6" customFormat="false" ht="15.75" hidden="false" customHeight="false" outlineLevel="0" collapsed="false">
      <c r="A6" s="13" t="n">
        <v>0.479166666666667</v>
      </c>
      <c r="B6" s="13" t="n">
        <v>0.520833333333333</v>
      </c>
      <c r="C6" s="1" t="s">
        <v>82</v>
      </c>
      <c r="D6" s="1" t="s">
        <v>33</v>
      </c>
      <c r="E6" s="13" t="n">
        <v>0.479166666666667</v>
      </c>
      <c r="F6" s="13" t="n">
        <v>0.520833333333333</v>
      </c>
      <c r="G6" s="1" t="s">
        <v>83</v>
      </c>
      <c r="H6" s="1" t="s">
        <v>28</v>
      </c>
    </row>
    <row r="7" customFormat="false" ht="15.75" hidden="false" customHeight="false" outlineLevel="0" collapsed="false">
      <c r="A7" s="13" t="n">
        <v>0.520833333333333</v>
      </c>
      <c r="B7" s="13" t="n">
        <v>0.5625</v>
      </c>
      <c r="C7" s="1" t="s">
        <v>84</v>
      </c>
      <c r="E7" s="13" t="n">
        <v>0.520833333333333</v>
      </c>
      <c r="F7" s="13" t="n">
        <v>0.5625</v>
      </c>
      <c r="G7" s="1" t="s">
        <v>84</v>
      </c>
    </row>
    <row r="8" customFormat="false" ht="15.75" hidden="false" customHeight="false" outlineLevel="0" collapsed="false">
      <c r="A8" s="13" t="n">
        <v>0.5625</v>
      </c>
      <c r="B8" s="13" t="n">
        <v>0.604166666666667</v>
      </c>
      <c r="C8" s="1" t="s">
        <v>85</v>
      </c>
      <c r="D8" s="1" t="s">
        <v>47</v>
      </c>
      <c r="E8" s="13" t="n">
        <v>0.5625</v>
      </c>
      <c r="F8" s="13" t="n">
        <v>0.604166666666667</v>
      </c>
      <c r="G8" s="1" t="s">
        <v>86</v>
      </c>
      <c r="H8" s="1" t="s">
        <v>21</v>
      </c>
    </row>
    <row r="9" customFormat="false" ht="15.75" hidden="false" customHeight="false" outlineLevel="0" collapsed="false">
      <c r="A9" s="13" t="n">
        <v>0.604166666666667</v>
      </c>
      <c r="B9" s="13" t="n">
        <v>0.645833333333333</v>
      </c>
      <c r="C9" s="1" t="s">
        <v>87</v>
      </c>
      <c r="D9" s="1" t="s">
        <v>44</v>
      </c>
      <c r="E9" s="13" t="n">
        <v>0.604166666666667</v>
      </c>
      <c r="F9" s="13" t="n">
        <v>0.645833333333333</v>
      </c>
      <c r="G9" s="1" t="s">
        <v>88</v>
      </c>
      <c r="H9" s="1" t="s">
        <v>14</v>
      </c>
    </row>
    <row r="10" customFormat="false" ht="15.75" hidden="false" customHeight="false" outlineLevel="0" collapsed="false">
      <c r="A10" s="13" t="n">
        <v>0.645833333333333</v>
      </c>
      <c r="B10" s="13" t="n">
        <v>0.659722222222222</v>
      </c>
      <c r="C10" s="1" t="s">
        <v>79</v>
      </c>
      <c r="E10" s="13" t="n">
        <v>0.645833333333333</v>
      </c>
      <c r="F10" s="13" t="n">
        <v>0.659722222222222</v>
      </c>
      <c r="G10" s="1" t="s">
        <v>79</v>
      </c>
    </row>
    <row r="11" customFormat="false" ht="15.75" hidden="false" customHeight="false" outlineLevel="0" collapsed="false">
      <c r="A11" s="13" t="n">
        <v>0.659722222222222</v>
      </c>
      <c r="B11" s="13" t="n">
        <v>0.701388888888889</v>
      </c>
      <c r="C11" s="1" t="s">
        <v>89</v>
      </c>
      <c r="D11" s="1" t="s">
        <v>41</v>
      </c>
      <c r="E11" s="13" t="n">
        <v>0.659722222222222</v>
      </c>
      <c r="F11" s="13" t="n">
        <v>0.701388888888889</v>
      </c>
      <c r="G11" s="1" t="s">
        <v>90</v>
      </c>
      <c r="H11" s="1" t="s">
        <v>18</v>
      </c>
    </row>
    <row r="12" customFormat="false" ht="15.75" hidden="false" customHeight="false" outlineLevel="0" collapsed="false">
      <c r="A12" s="13" t="n">
        <v>0.701388888888889</v>
      </c>
      <c r="B12" s="13" t="n">
        <v>0.743055555555556</v>
      </c>
      <c r="C12" s="1" t="s">
        <v>91</v>
      </c>
      <c r="D12" s="1" t="s">
        <v>37</v>
      </c>
      <c r="E12" s="13" t="n">
        <v>0.701388888888889</v>
      </c>
      <c r="F12" s="13" t="n">
        <v>0.743055555555556</v>
      </c>
      <c r="G12" s="1" t="s">
        <v>92</v>
      </c>
      <c r="H12" s="1" t="s">
        <v>93</v>
      </c>
    </row>
    <row r="17" customFormat="false" ht="15.75" hidden="false" customHeight="true" outlineLevel="0" collapsed="false">
      <c r="A17" s="14" t="n">
        <v>46169</v>
      </c>
    </row>
    <row r="18" customFormat="false" ht="15.75" hidden="false" customHeight="true" outlineLevel="0" collapsed="false">
      <c r="A18" s="15" t="n">
        <v>0.458333333333333</v>
      </c>
      <c r="B18" s="0" t="s">
        <v>90</v>
      </c>
      <c r="C18" s="0" t="s">
        <v>94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Piotr Bystranowski</cp:lastModifiedBy>
  <dcterms:modified xsi:type="dcterms:W3CDTF">2026-04-20T15:54:31Z</dcterms:modified>
  <cp:revision>1</cp:revision>
  <dc:subject/>
  <dc:title/>
</cp:coreProperties>
</file>